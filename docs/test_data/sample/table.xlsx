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<sst xmlns="http://schemas.openxmlformats.org/spreadsheetml/2006/main" count="57" uniqueCount="13">
  <si>
    <t xml:space="preserve"> </t>
  </si>
  <si>
    <t xml:space="preserve">Label</t>
  </si>
  <si>
    <t xml:space="preserve">Area</t>
  </si>
  <si>
    <t xml:space="preserve">Mean</t>
  </si>
  <si>
    <t xml:space="preserve">XM</t>
  </si>
  <si>
    <t xml:space="preserve">YM</t>
  </si>
  <si>
    <t xml:space="preserve">Circ.</t>
  </si>
  <si>
    <t xml:space="preserve">%Area</t>
  </si>
  <si>
    <t xml:space="preserve">AR</t>
  </si>
  <si>
    <t xml:space="preserve">Round</t>
  </si>
  <si>
    <t xml:space="preserve">Solidity</t>
  </si>
  <si>
    <t xml:space="preserve">MScore</t>
  </si>
  <si>
    <t xml:space="preserve">Microglia Segmentation P2_A_C3H_M3-0008.czi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</si>
</sst>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1</v>
      </c>
      <c r="B2" s="0" t="s">
        <v>12</v>
      </c>
      <c r="C2" s="1" t="n">
        <v>92.105</v>
      </c>
      <c r="D2" s="1" t="n">
        <v>255</v>
      </c>
      <c r="E2" s="1" t="n">
        <v>6919.423</v>
      </c>
      <c r="F2" s="1" t="n">
        <v>781.723</v>
      </c>
      <c r="G2" s="1" t="n">
        <v>0.514</v>
      </c>
      <c r="H2" s="1" t="n">
        <v>100</v>
      </c>
      <c r="I2" s="1" t="n">
        <v>2.067</v>
      </c>
      <c r="J2" s="1" t="n">
        <v>0.484</v>
      </c>
      <c r="K2" s="1" t="n">
        <v>0.776</v>
      </c>
      <c r="L2" s="2" t="n">
        <f aca="false">G2*(C2-10)/10</f>
        <v>4.220197</v>
      </c>
    </row>
    <row r="3" customFormat="false" ht="15" hidden="false" customHeight="false" outlineLevel="0" collapsed="false">
      <c r="A3" s="0" t="n">
        <v>2</v>
      </c>
      <c r="B3" s="0" t="s">
        <v>12</v>
      </c>
      <c r="C3" s="1" t="n">
        <v>68.445</v>
      </c>
      <c r="D3" s="1" t="n">
        <v>255</v>
      </c>
      <c r="E3" s="1" t="n">
        <v>6181.211</v>
      </c>
      <c r="F3" s="1" t="n">
        <v>782.62</v>
      </c>
      <c r="G3" s="1" t="n">
        <v>0.895</v>
      </c>
      <c r="H3" s="1" t="n">
        <v>100</v>
      </c>
      <c r="I3" s="1" t="n">
        <v>1.426</v>
      </c>
      <c r="J3" s="1" t="n">
        <v>0.701</v>
      </c>
      <c r="K3" s="1" t="n">
        <v>0.928</v>
      </c>
      <c r="L3" s="2" t="n">
        <f aca="false">G3*(C3-10)/10</f>
        <v>5.2308275</v>
      </c>
    </row>
    <row r="4" customFormat="false" ht="15" hidden="false" customHeight="false" outlineLevel="0" collapsed="false">
      <c r="A4" s="0" t="n">
        <v>3</v>
      </c>
      <c r="B4" s="0" t="s">
        <v>12</v>
      </c>
      <c r="C4" s="1" t="n">
        <v>85.345</v>
      </c>
      <c r="D4" s="1" t="n">
        <v>255</v>
      </c>
      <c r="E4" s="1" t="n">
        <v>7363.371</v>
      </c>
      <c r="F4" s="1" t="n">
        <v>783.469</v>
      </c>
      <c r="G4" s="1" t="n">
        <v>0.586</v>
      </c>
      <c r="H4" s="1" t="n">
        <v>100</v>
      </c>
      <c r="I4" s="1" t="n">
        <v>1.648</v>
      </c>
      <c r="J4" s="1" t="n">
        <v>0.607</v>
      </c>
      <c r="K4" s="1" t="n">
        <v>0.781</v>
      </c>
      <c r="L4" s="2" t="n">
        <f aca="false">G4*(C4-10)/10</f>
        <v>4.415217</v>
      </c>
    </row>
    <row r="5" customFormat="false" ht="15" hidden="false" customHeight="false" outlineLevel="0" collapsed="false">
      <c r="A5" s="0" t="n">
        <v>4</v>
      </c>
      <c r="B5" s="0" t="s">
        <v>12</v>
      </c>
      <c r="C5" s="1" t="n">
        <v>119.145</v>
      </c>
      <c r="D5" s="1" t="n">
        <v>255</v>
      </c>
      <c r="E5" s="1" t="n">
        <v>7250.598</v>
      </c>
      <c r="F5" s="1" t="n">
        <v>790.962</v>
      </c>
      <c r="G5" s="1" t="n">
        <v>0.239</v>
      </c>
      <c r="H5" s="1" t="n">
        <v>100</v>
      </c>
      <c r="I5" s="1" t="n">
        <v>2.526</v>
      </c>
      <c r="J5" s="1" t="n">
        <v>0.396</v>
      </c>
      <c r="K5" s="1" t="n">
        <v>0.554</v>
      </c>
      <c r="L5" s="2" t="n">
        <f aca="false">G5*(C5-10)/10</f>
        <v>2.6085655</v>
      </c>
    </row>
    <row r="6" customFormat="false" ht="15" hidden="false" customHeight="false" outlineLevel="0" collapsed="false">
      <c r="A6" s="0" t="n">
        <v>5</v>
      </c>
      <c r="B6" s="0" t="s">
        <v>12</v>
      </c>
      <c r="C6" s="1" t="n">
        <v>65.91</v>
      </c>
      <c r="D6" s="1" t="n">
        <v>255</v>
      </c>
      <c r="E6" s="1" t="n">
        <v>6373.454</v>
      </c>
      <c r="F6" s="1" t="n">
        <v>795.671</v>
      </c>
      <c r="G6" s="1" t="n">
        <v>0.841</v>
      </c>
      <c r="H6" s="1" t="n">
        <v>100</v>
      </c>
      <c r="I6" s="1" t="n">
        <v>1.593</v>
      </c>
      <c r="J6" s="1" t="n">
        <v>0.628</v>
      </c>
      <c r="K6" s="1" t="n">
        <v>0.923</v>
      </c>
      <c r="L6" s="2" t="n">
        <f aca="false">G6*(C6-10)/10</f>
        <v>4.702031</v>
      </c>
    </row>
    <row r="7" customFormat="false" ht="15" hidden="false" customHeight="false" outlineLevel="0" collapsed="false">
      <c r="A7" s="0" t="n">
        <v>6</v>
      </c>
      <c r="B7" s="0" t="s">
        <v>12</v>
      </c>
      <c r="C7" s="1" t="n">
        <v>102.668</v>
      </c>
      <c r="D7" s="1" t="n">
        <v>255</v>
      </c>
      <c r="E7" s="1" t="n">
        <v>8392.467</v>
      </c>
      <c r="F7" s="1" t="n">
        <v>795.674</v>
      </c>
      <c r="G7" s="1" t="n">
        <v>0.546</v>
      </c>
      <c r="H7" s="1" t="n">
        <v>100</v>
      </c>
      <c r="I7" s="1" t="n">
        <v>1.566</v>
      </c>
      <c r="J7" s="1" t="n">
        <v>0.639</v>
      </c>
      <c r="K7" s="1" t="n">
        <v>0.809</v>
      </c>
      <c r="L7" s="2" t="n">
        <f aca="false">G7*(C7-10)/10</f>
        <v>5.0596728</v>
      </c>
    </row>
    <row r="8" customFormat="false" ht="15" hidden="false" customHeight="false" outlineLevel="0" collapsed="false">
      <c r="A8" s="0" t="n">
        <v>7</v>
      </c>
      <c r="B8" s="0" t="s">
        <v>12</v>
      </c>
      <c r="C8" s="1" t="n">
        <v>70.558</v>
      </c>
      <c r="D8" s="1" t="n">
        <v>255</v>
      </c>
      <c r="E8" s="1" t="n">
        <v>6829.151</v>
      </c>
      <c r="F8" s="1" t="n">
        <v>812.377</v>
      </c>
      <c r="G8" s="1" t="n">
        <v>0.491</v>
      </c>
      <c r="H8" s="1" t="n">
        <v>100</v>
      </c>
      <c r="I8" s="1" t="n">
        <v>1.81</v>
      </c>
      <c r="J8" s="1" t="n">
        <v>0.553</v>
      </c>
      <c r="K8" s="1" t="n">
        <v>0.693</v>
      </c>
      <c r="L8" s="2" t="n">
        <f aca="false">G8*(C8-10)/10</f>
        <v>2.9733978</v>
      </c>
    </row>
    <row r="9" customFormat="false" ht="15" hidden="false" customHeight="false" outlineLevel="0" collapsed="false">
      <c r="A9" s="0" t="n">
        <v>8</v>
      </c>
      <c r="B9" s="0" t="s">
        <v>12</v>
      </c>
      <c r="C9" s="1" t="n">
        <v>127.173</v>
      </c>
      <c r="D9" s="1" t="n">
        <v>255</v>
      </c>
      <c r="E9" s="1" t="n">
        <v>8609.873</v>
      </c>
      <c r="F9" s="1" t="n">
        <v>817.282</v>
      </c>
      <c r="G9" s="1" t="n">
        <v>0.387</v>
      </c>
      <c r="H9" s="1" t="n">
        <v>100</v>
      </c>
      <c r="I9" s="1" t="n">
        <v>1.718</v>
      </c>
      <c r="J9" s="1" t="n">
        <v>0.582</v>
      </c>
      <c r="K9" s="1" t="n">
        <v>0.672</v>
      </c>
      <c r="L9" s="2" t="n">
        <f aca="false">G9*(C9-10)/10</f>
        <v>4.5345951</v>
      </c>
    </row>
    <row r="10" customFormat="false" ht="15" hidden="false" customHeight="false" outlineLevel="0" collapsed="false">
      <c r="A10" s="0" t="n">
        <v>9</v>
      </c>
      <c r="B10" s="0" t="s">
        <v>12</v>
      </c>
      <c r="C10" s="1" t="n">
        <v>47.743</v>
      </c>
      <c r="D10" s="1" t="n">
        <v>255</v>
      </c>
      <c r="E10" s="1" t="n">
        <v>8640.51</v>
      </c>
      <c r="F10" s="1" t="n">
        <v>821.476</v>
      </c>
      <c r="G10" s="1" t="n">
        <v>0.595</v>
      </c>
      <c r="H10" s="1" t="n">
        <v>100</v>
      </c>
      <c r="I10" s="1" t="n">
        <v>1.635</v>
      </c>
      <c r="J10" s="1" t="n">
        <v>0.611</v>
      </c>
      <c r="K10" s="1" t="n">
        <v>0.787</v>
      </c>
      <c r="L10" s="2" t="n">
        <f aca="false">G10*(C10-10)/10</f>
        <v>2.2457085</v>
      </c>
    </row>
    <row r="11" customFormat="false" ht="15" hidden="false" customHeight="false" outlineLevel="0" collapsed="false">
      <c r="A11" s="0" t="n">
        <v>10</v>
      </c>
      <c r="B11" s="0" t="s">
        <v>12</v>
      </c>
      <c r="C11" s="1" t="n">
        <v>149.565</v>
      </c>
      <c r="D11" s="1" t="n">
        <v>255</v>
      </c>
      <c r="E11" s="1" t="n">
        <v>8703.45</v>
      </c>
      <c r="F11" s="1" t="n">
        <v>830.044</v>
      </c>
      <c r="G11" s="1" t="n">
        <v>0.126</v>
      </c>
      <c r="H11" s="1" t="n">
        <v>100</v>
      </c>
      <c r="I11" s="1" t="n">
        <v>1.639</v>
      </c>
      <c r="J11" s="1" t="n">
        <v>0.61</v>
      </c>
      <c r="K11" s="1" t="n">
        <v>0.372</v>
      </c>
      <c r="L11" s="2" t="n">
        <f aca="false">G11*(C11-10)/10</f>
        <v>1.758519</v>
      </c>
    </row>
    <row r="12" customFormat="false" ht="15" hidden="false" customHeight="false" outlineLevel="0" collapsed="false">
      <c r="A12" s="0" t="n">
        <v>11</v>
      </c>
      <c r="B12" s="0" t="s">
        <v>12</v>
      </c>
      <c r="C12" s="1" t="n">
        <v>115.765</v>
      </c>
      <c r="D12" s="1" t="n">
        <v>255</v>
      </c>
      <c r="E12" s="1" t="n">
        <v>7228.451</v>
      </c>
      <c r="F12" s="1" t="n">
        <v>837.736</v>
      </c>
      <c r="G12" s="1" t="n">
        <v>0.207</v>
      </c>
      <c r="H12" s="1" t="n">
        <v>100</v>
      </c>
      <c r="I12" s="1" t="n">
        <v>2.616</v>
      </c>
      <c r="J12" s="1" t="n">
        <v>0.382</v>
      </c>
      <c r="K12" s="1" t="n">
        <v>0.475</v>
      </c>
      <c r="L12" s="2" t="n">
        <f aca="false">G12*(C12-10)/10</f>
        <v>2.1893355</v>
      </c>
    </row>
    <row r="13" customFormat="false" ht="15" hidden="false" customHeight="false" outlineLevel="0" collapsed="false">
      <c r="A13" s="0" t="n">
        <v>12</v>
      </c>
      <c r="B13" s="0" t="s">
        <v>12</v>
      </c>
      <c r="C13" s="1" t="n">
        <v>132.665</v>
      </c>
      <c r="D13" s="1" t="n">
        <v>255</v>
      </c>
      <c r="E13" s="1" t="n">
        <v>8546.846</v>
      </c>
      <c r="F13" s="1" t="n">
        <v>836.747</v>
      </c>
      <c r="G13" s="1" t="n">
        <v>0.177</v>
      </c>
      <c r="H13" s="1" t="n">
        <v>100</v>
      </c>
      <c r="I13" s="1" t="n">
        <v>1.546</v>
      </c>
      <c r="J13" s="1" t="n">
        <v>0.647</v>
      </c>
      <c r="K13" s="1" t="n">
        <v>0.489</v>
      </c>
      <c r="L13" s="2" t="n">
        <f aca="false">G13*(C13-10)/10</f>
        <v>2.1711705</v>
      </c>
    </row>
    <row r="14" customFormat="false" ht="15" hidden="false" customHeight="false" outlineLevel="0" collapsed="false">
      <c r="A14" s="0" t="n">
        <v>13</v>
      </c>
      <c r="B14" s="0" t="s">
        <v>12</v>
      </c>
      <c r="C14" s="1" t="n">
        <v>134.355</v>
      </c>
      <c r="D14" s="1" t="n">
        <v>255</v>
      </c>
      <c r="E14" s="1" t="n">
        <v>7710.03</v>
      </c>
      <c r="F14" s="1" t="n">
        <v>847.88</v>
      </c>
      <c r="G14" s="1" t="n">
        <v>0.38</v>
      </c>
      <c r="H14" s="1" t="n">
        <v>100</v>
      </c>
      <c r="I14" s="1" t="n">
        <v>1.901</v>
      </c>
      <c r="J14" s="1" t="n">
        <v>0.526</v>
      </c>
      <c r="K14" s="1" t="n">
        <v>0.628</v>
      </c>
      <c r="L14" s="2" t="n">
        <f aca="false">G14*(C14-10)/10</f>
        <v>4.72549</v>
      </c>
    </row>
    <row r="15" customFormat="false" ht="15" hidden="false" customHeight="false" outlineLevel="0" collapsed="false">
      <c r="A15" s="0" t="n">
        <v>14</v>
      </c>
      <c r="B15" s="0" t="s">
        <v>12</v>
      </c>
      <c r="C15" s="1" t="n">
        <v>78.585</v>
      </c>
      <c r="D15" s="1" t="n">
        <v>255</v>
      </c>
      <c r="E15" s="1" t="n">
        <v>8331.966</v>
      </c>
      <c r="F15" s="1" t="n">
        <v>870.133</v>
      </c>
      <c r="G15" s="1" t="n">
        <v>0.413</v>
      </c>
      <c r="H15" s="1" t="n">
        <v>100</v>
      </c>
      <c r="I15" s="1" t="n">
        <v>1.323</v>
      </c>
      <c r="J15" s="1" t="n">
        <v>0.756</v>
      </c>
      <c r="K15" s="1" t="n">
        <v>0.686</v>
      </c>
      <c r="L15" s="2" t="n">
        <f aca="false">G15*(C15-10)/10</f>
        <v>2.8325605</v>
      </c>
    </row>
    <row r="16" customFormat="false" ht="15" hidden="false" customHeight="false" outlineLevel="0" collapsed="false">
      <c r="A16" s="0" t="n">
        <v>15</v>
      </c>
      <c r="B16" s="0" t="s">
        <v>12</v>
      </c>
      <c r="C16" s="1" t="n">
        <v>205.335</v>
      </c>
      <c r="D16" s="1" t="n">
        <v>255</v>
      </c>
      <c r="E16" s="1" t="n">
        <v>7768.583</v>
      </c>
      <c r="F16" s="1" t="n">
        <v>877.238</v>
      </c>
      <c r="G16" s="1" t="n">
        <v>0.102</v>
      </c>
      <c r="H16" s="1" t="n">
        <v>100</v>
      </c>
      <c r="I16" s="1" t="n">
        <v>1.234</v>
      </c>
      <c r="J16" s="1" t="n">
        <v>0.811</v>
      </c>
      <c r="K16" s="1" t="n">
        <v>0.404</v>
      </c>
      <c r="L16" s="2" t="n">
        <f aca="false">G16*(C16-10)/10</f>
        <v>1.992417</v>
      </c>
    </row>
    <row r="17" customFormat="false" ht="15" hidden="false" customHeight="false" outlineLevel="0" collapsed="false">
      <c r="A17" s="0" t="n">
        <v>16</v>
      </c>
      <c r="B17" s="0" t="s">
        <v>12</v>
      </c>
      <c r="C17" s="1" t="n">
        <v>71.825</v>
      </c>
      <c r="D17" s="1" t="n">
        <v>255</v>
      </c>
      <c r="E17" s="1" t="n">
        <v>9157.204</v>
      </c>
      <c r="F17" s="1" t="n">
        <v>873.566</v>
      </c>
      <c r="G17" s="1" t="n">
        <v>0.886</v>
      </c>
      <c r="H17" s="1" t="n">
        <v>100</v>
      </c>
      <c r="I17" s="1" t="n">
        <v>1.303</v>
      </c>
      <c r="J17" s="1" t="n">
        <v>0.767</v>
      </c>
      <c r="K17" s="1" t="n">
        <v>0.902</v>
      </c>
      <c r="L17" s="2" t="n">
        <f aca="false">G17*(C17-10)/10</f>
        <v>5.477695</v>
      </c>
    </row>
    <row r="18" customFormat="false" ht="15" hidden="false" customHeight="false" outlineLevel="0" collapsed="false">
      <c r="A18" s="0" t="n">
        <v>17</v>
      </c>
      <c r="B18" s="0" t="s">
        <v>12</v>
      </c>
      <c r="C18" s="1" t="n">
        <v>68.445</v>
      </c>
      <c r="D18" s="1" t="n">
        <v>255</v>
      </c>
      <c r="E18" s="1" t="n">
        <v>8061.364</v>
      </c>
      <c r="F18" s="1" t="n">
        <v>874.354</v>
      </c>
      <c r="G18" s="1" t="n">
        <v>0.96</v>
      </c>
      <c r="H18" s="1" t="n">
        <v>100</v>
      </c>
      <c r="I18" s="1" t="n">
        <v>1.243</v>
      </c>
      <c r="J18" s="1" t="n">
        <v>0.805</v>
      </c>
      <c r="K18" s="1" t="n">
        <v>0.953</v>
      </c>
      <c r="L18" s="2" t="n">
        <f aca="false">G18*(C18-10)/10</f>
        <v>5.61072</v>
      </c>
    </row>
    <row r="19" customFormat="false" ht="15" hidden="false" customHeight="false" outlineLevel="0" collapsed="false">
      <c r="A19" s="0" t="n">
        <v>18</v>
      </c>
      <c r="B19" s="0" t="s">
        <v>12</v>
      </c>
      <c r="C19" s="1" t="n">
        <v>106.893</v>
      </c>
      <c r="D19" s="1" t="n">
        <v>255</v>
      </c>
      <c r="E19" s="1" t="n">
        <v>8963.267</v>
      </c>
      <c r="F19" s="1" t="n">
        <v>881.35</v>
      </c>
      <c r="G19" s="1" t="n">
        <v>0.267</v>
      </c>
      <c r="H19" s="1" t="n">
        <v>100</v>
      </c>
      <c r="I19" s="1" t="n">
        <v>1.612</v>
      </c>
      <c r="J19" s="1" t="n">
        <v>0.62</v>
      </c>
      <c r="K19" s="1" t="n">
        <v>0.582</v>
      </c>
      <c r="L19" s="2" t="n">
        <f aca="false">G19*(C19-10)/10</f>
        <v>2.5870431</v>
      </c>
    </row>
    <row r="20" customFormat="false" ht="15" hidden="false" customHeight="false" outlineLevel="0" collapsed="false">
      <c r="A20" s="0" t="n">
        <v>19</v>
      </c>
      <c r="B20" s="0" t="s">
        <v>12</v>
      </c>
      <c r="C20" s="1" t="n">
        <v>75.628</v>
      </c>
      <c r="D20" s="1" t="n">
        <v>255</v>
      </c>
      <c r="E20" s="1" t="n">
        <v>8936.805</v>
      </c>
      <c r="F20" s="1" t="n">
        <v>876.645</v>
      </c>
      <c r="G20" s="1" t="n">
        <v>0.331</v>
      </c>
      <c r="H20" s="1" t="n">
        <v>100</v>
      </c>
      <c r="I20" s="1" t="n">
        <v>3.224</v>
      </c>
      <c r="J20" s="1" t="n">
        <v>0.31</v>
      </c>
      <c r="K20" s="1" t="n">
        <v>0.65</v>
      </c>
      <c r="L20" s="2" t="n">
        <f aca="false">G20*(C20-10)/10</f>
        <v>2.1722868</v>
      </c>
    </row>
    <row r="21" customFormat="false" ht="15" hidden="false" customHeight="false" outlineLevel="0" collapsed="false">
      <c r="A21" s="0" t="n">
        <v>20</v>
      </c>
      <c r="B21" s="0" t="s">
        <v>12</v>
      </c>
      <c r="C21" s="1" t="n">
        <v>78.163</v>
      </c>
      <c r="D21" s="1" t="n">
        <v>255</v>
      </c>
      <c r="E21" s="1" t="n">
        <v>7849.244</v>
      </c>
      <c r="F21" s="1" t="n">
        <v>878.44</v>
      </c>
      <c r="G21" s="1" t="n">
        <v>0.911</v>
      </c>
      <c r="H21" s="1" t="n">
        <v>100</v>
      </c>
      <c r="I21" s="1" t="n">
        <v>1.389</v>
      </c>
      <c r="J21" s="1" t="n">
        <v>0.72</v>
      </c>
      <c r="K21" s="1" t="n">
        <v>0.932</v>
      </c>
      <c r="L21" s="2" t="n">
        <f aca="false">G21*(C21-10)/10</f>
        <v>6.2096493</v>
      </c>
    </row>
    <row r="22" customFormat="false" ht="15" hidden="false" customHeight="false" outlineLevel="0" collapsed="false">
      <c r="A22" s="0" t="n">
        <v>21</v>
      </c>
      <c r="B22" s="0" t="s">
        <v>12</v>
      </c>
      <c r="C22" s="1" t="n">
        <v>97.175</v>
      </c>
      <c r="D22" s="1" t="n">
        <v>255</v>
      </c>
      <c r="E22" s="1" t="n">
        <v>9292.827</v>
      </c>
      <c r="F22" s="1" t="n">
        <v>882.754</v>
      </c>
      <c r="G22" s="1" t="n">
        <v>0.707</v>
      </c>
      <c r="H22" s="1" t="n">
        <v>100</v>
      </c>
      <c r="I22" s="1" t="n">
        <v>1.178</v>
      </c>
      <c r="J22" s="1" t="n">
        <v>0.849</v>
      </c>
      <c r="K22" s="1" t="n">
        <v>0.886</v>
      </c>
      <c r="L22" s="2" t="n">
        <f aca="false">G22*(C22-10)/10</f>
        <v>6.1632725</v>
      </c>
    </row>
    <row r="23" customFormat="false" ht="15" hidden="false" customHeight="false" outlineLevel="0" collapsed="false">
      <c r="A23" s="0" t="n">
        <v>22</v>
      </c>
      <c r="B23" s="0" t="s">
        <v>12</v>
      </c>
      <c r="C23" s="1" t="n">
        <v>97.598</v>
      </c>
      <c r="D23" s="1" t="n">
        <v>255</v>
      </c>
      <c r="E23" s="1" t="n">
        <v>6266.767</v>
      </c>
      <c r="F23" s="1" t="n">
        <v>888.45</v>
      </c>
      <c r="G23" s="1" t="n">
        <v>0.414</v>
      </c>
      <c r="H23" s="1" t="n">
        <v>100</v>
      </c>
      <c r="I23" s="1" t="n">
        <v>2.06</v>
      </c>
      <c r="J23" s="1" t="n">
        <v>0.485</v>
      </c>
      <c r="K23" s="1" t="n">
        <v>0.662</v>
      </c>
      <c r="L23" s="2" t="n">
        <f aca="false">G23*(C23-10)/10</f>
        <v>3.6265572</v>
      </c>
    </row>
    <row r="24" customFormat="false" ht="15" hidden="false" customHeight="false" outlineLevel="0" collapsed="false">
      <c r="A24" s="0" t="n">
        <v>23</v>
      </c>
      <c r="B24" s="0" t="s">
        <v>12</v>
      </c>
      <c r="C24" s="1" t="n">
        <v>141.115</v>
      </c>
      <c r="D24" s="1" t="n">
        <v>255</v>
      </c>
      <c r="E24" s="1" t="n">
        <v>9008.311</v>
      </c>
      <c r="F24" s="1" t="n">
        <v>896.262</v>
      </c>
      <c r="G24" s="1" t="n">
        <v>0.123</v>
      </c>
      <c r="H24" s="1" t="n">
        <v>100</v>
      </c>
      <c r="I24" s="1" t="n">
        <v>3.276</v>
      </c>
      <c r="J24" s="1" t="n">
        <v>0.305</v>
      </c>
      <c r="K24" s="1" t="n">
        <v>0.354</v>
      </c>
      <c r="L24" s="2" t="n">
        <f aca="false">G24*(C24-10)/10</f>
        <v>1.6127145</v>
      </c>
    </row>
    <row r="25" customFormat="false" ht="15" hidden="false" customHeight="false" outlineLevel="0" collapsed="false">
      <c r="A25" s="0" t="n">
        <v>24</v>
      </c>
      <c r="B25" s="0" t="s">
        <v>12</v>
      </c>
      <c r="C25" s="1" t="n">
        <v>45.63</v>
      </c>
      <c r="D25" s="1" t="n">
        <v>255</v>
      </c>
      <c r="E25" s="1" t="n">
        <v>6093.262</v>
      </c>
      <c r="F25" s="1" t="n">
        <v>918.288</v>
      </c>
      <c r="G25" s="1" t="n">
        <v>0.537</v>
      </c>
      <c r="H25" s="1" t="n">
        <v>100</v>
      </c>
      <c r="I25" s="1" t="n">
        <v>1.837</v>
      </c>
      <c r="J25" s="1" t="n">
        <v>0.544</v>
      </c>
      <c r="K25" s="1" t="n">
        <v>0.797</v>
      </c>
      <c r="L25" s="2" t="n">
        <f aca="false">G25*(C25-10)/10</f>
        <v>1.913331</v>
      </c>
    </row>
    <row r="26" customFormat="false" ht="15" hidden="false" customHeight="false" outlineLevel="0" collapsed="false">
      <c r="A26" s="0" t="n">
        <v>25</v>
      </c>
      <c r="B26" s="0" t="s">
        <v>12</v>
      </c>
      <c r="C26" s="1" t="n">
        <v>151.678</v>
      </c>
      <c r="D26" s="1" t="n">
        <v>255</v>
      </c>
      <c r="E26" s="1" t="n">
        <v>6314.278</v>
      </c>
      <c r="F26" s="1" t="n">
        <v>956.037</v>
      </c>
      <c r="G26" s="1" t="n">
        <v>0.113</v>
      </c>
      <c r="H26" s="1" t="n">
        <v>100</v>
      </c>
      <c r="I26" s="1" t="n">
        <v>5.511</v>
      </c>
      <c r="J26" s="1" t="n">
        <v>0.181</v>
      </c>
      <c r="K26" s="1" t="n">
        <v>0.359</v>
      </c>
      <c r="L26" s="2" t="n">
        <f aca="false">G26*(C26-10)/10</f>
        <v>1.6009614</v>
      </c>
    </row>
    <row r="27" customFormat="false" ht="15" hidden="false" customHeight="false" outlineLevel="0" collapsed="false">
      <c r="A27" s="0" t="n">
        <v>26</v>
      </c>
      <c r="B27" s="0" t="s">
        <v>12</v>
      </c>
      <c r="C27" s="1" t="n">
        <v>118.723</v>
      </c>
      <c r="D27" s="1" t="n">
        <v>255</v>
      </c>
      <c r="E27" s="1" t="n">
        <v>8387.617</v>
      </c>
      <c r="F27" s="1" t="n">
        <v>950.549</v>
      </c>
      <c r="G27" s="1" t="n">
        <v>0.115</v>
      </c>
      <c r="H27" s="1" t="n">
        <v>100</v>
      </c>
      <c r="I27" s="1" t="n">
        <v>3.653</v>
      </c>
      <c r="J27" s="1" t="n">
        <v>0.274</v>
      </c>
      <c r="K27" s="1" t="n">
        <v>0.408</v>
      </c>
      <c r="L27" s="2" t="n">
        <f aca="false">G27*(C27-10)/10</f>
        <v>1.2503145</v>
      </c>
    </row>
    <row r="28" customFormat="false" ht="15" hidden="false" customHeight="false" outlineLevel="0" collapsed="false">
      <c r="A28" s="0" t="n">
        <v>27</v>
      </c>
      <c r="B28" s="0" t="s">
        <v>12</v>
      </c>
      <c r="C28" s="1" t="n">
        <v>68.023</v>
      </c>
      <c r="D28" s="1" t="n">
        <v>255</v>
      </c>
      <c r="E28" s="1" t="n">
        <v>9276.346</v>
      </c>
      <c r="F28" s="1" t="n">
        <v>946.067</v>
      </c>
      <c r="G28" s="1" t="n">
        <v>0.921</v>
      </c>
      <c r="H28" s="1" t="n">
        <v>100</v>
      </c>
      <c r="I28" s="1" t="n">
        <v>1.2</v>
      </c>
      <c r="J28" s="1" t="n">
        <v>0.834</v>
      </c>
      <c r="K28" s="1" t="n">
        <v>0.931</v>
      </c>
      <c r="L28" s="2" t="n">
        <f aca="false">G28*(C28-10)/10</f>
        <v>5.3439183</v>
      </c>
    </row>
    <row r="29" customFormat="false" ht="15" hidden="false" customHeight="false" outlineLevel="0" collapsed="false">
      <c r="A29" s="0" t="n">
        <v>28</v>
      </c>
      <c r="B29" s="0" t="s">
        <v>12</v>
      </c>
      <c r="C29" s="1" t="n">
        <v>52.39</v>
      </c>
      <c r="D29" s="1" t="n">
        <v>255</v>
      </c>
      <c r="E29" s="1" t="n">
        <v>7009.275</v>
      </c>
      <c r="F29" s="1" t="n">
        <v>946.122</v>
      </c>
      <c r="G29" s="1" t="n">
        <v>0.774</v>
      </c>
      <c r="H29" s="1" t="n">
        <v>100</v>
      </c>
      <c r="I29" s="1" t="n">
        <v>1.4</v>
      </c>
      <c r="J29" s="1" t="n">
        <v>0.714</v>
      </c>
      <c r="K29" s="1" t="n">
        <v>0.876</v>
      </c>
      <c r="L29" s="2" t="n">
        <f aca="false">G29*(C29-10)/10</f>
        <v>3.280986</v>
      </c>
    </row>
    <row r="30" customFormat="false" ht="15" hidden="false" customHeight="false" outlineLevel="0" collapsed="false">
      <c r="A30" s="0" t="n">
        <v>29</v>
      </c>
      <c r="B30" s="0" t="s">
        <v>12</v>
      </c>
      <c r="C30" s="1" t="n">
        <v>48.165</v>
      </c>
      <c r="D30" s="1" t="n">
        <v>255</v>
      </c>
      <c r="E30" s="1" t="n">
        <v>8406.148</v>
      </c>
      <c r="F30" s="1" t="n">
        <v>951.948</v>
      </c>
      <c r="G30" s="1" t="n">
        <v>0.739</v>
      </c>
      <c r="H30" s="1" t="n">
        <v>100</v>
      </c>
      <c r="I30" s="1" t="n">
        <v>2.176</v>
      </c>
      <c r="J30" s="1" t="n">
        <v>0.46</v>
      </c>
      <c r="K30" s="1" t="n">
        <v>0.901</v>
      </c>
      <c r="L30" s="2" t="n">
        <f aca="false">G30*(C30-10)/10</f>
        <v>2.8203935</v>
      </c>
    </row>
    <row r="31" customFormat="false" ht="15" hidden="false" customHeight="false" outlineLevel="0" collapsed="false">
      <c r="A31" s="0" t="n">
        <v>30</v>
      </c>
      <c r="B31" s="0" t="s">
        <v>12</v>
      </c>
      <c r="C31" s="1" t="n">
        <v>126.328</v>
      </c>
      <c r="D31" s="1" t="n">
        <v>255</v>
      </c>
      <c r="E31" s="1" t="n">
        <v>9668.995</v>
      </c>
      <c r="F31" s="1" t="n">
        <v>953.762</v>
      </c>
      <c r="G31" s="1" t="n">
        <v>0.224</v>
      </c>
      <c r="H31" s="1" t="n">
        <v>100</v>
      </c>
      <c r="I31" s="1" t="n">
        <v>4.963</v>
      </c>
      <c r="J31" s="1" t="n">
        <v>0.201</v>
      </c>
      <c r="K31" s="1" t="n">
        <v>0.631</v>
      </c>
      <c r="L31" s="2" t="n">
        <f aca="false">G31*(C31-10)/10</f>
        <v>2.6057472</v>
      </c>
    </row>
    <row r="32" customFormat="false" ht="15" hidden="false" customHeight="false" outlineLevel="0" collapsed="false">
      <c r="A32" s="0" t="n">
        <v>31</v>
      </c>
      <c r="B32" s="0" t="s">
        <v>12</v>
      </c>
      <c r="C32" s="1" t="n">
        <v>62.108</v>
      </c>
      <c r="D32" s="1" t="n">
        <v>255</v>
      </c>
      <c r="E32" s="1" t="n">
        <v>7719.641</v>
      </c>
      <c r="F32" s="1" t="n">
        <v>956.081</v>
      </c>
      <c r="G32" s="1" t="n">
        <v>0.342</v>
      </c>
      <c r="H32" s="1" t="n">
        <v>100</v>
      </c>
      <c r="I32" s="1" t="n">
        <v>2.457</v>
      </c>
      <c r="J32" s="1" t="n">
        <v>0.407</v>
      </c>
      <c r="K32" s="1" t="n">
        <v>0.616</v>
      </c>
      <c r="L32" s="2" t="n">
        <f aca="false">G32*(C32-10)/10</f>
        <v>1.7820936</v>
      </c>
    </row>
    <row r="33" customFormat="false" ht="15" hidden="false" customHeight="false" outlineLevel="0" collapsed="false">
      <c r="A33" s="0" t="n">
        <v>32</v>
      </c>
      <c r="B33" s="0" t="s">
        <v>12</v>
      </c>
      <c r="C33" s="1" t="n">
        <v>102.245</v>
      </c>
      <c r="D33" s="1" t="n">
        <v>255</v>
      </c>
      <c r="E33" s="1" t="n">
        <v>8910.281</v>
      </c>
      <c r="F33" s="1" t="n">
        <v>970.923</v>
      </c>
      <c r="G33" s="1" t="n">
        <v>0.502</v>
      </c>
      <c r="H33" s="1" t="n">
        <v>100</v>
      </c>
      <c r="I33" s="1" t="n">
        <v>2.522</v>
      </c>
      <c r="J33" s="1" t="n">
        <v>0.397</v>
      </c>
      <c r="K33" s="1" t="n">
        <v>0.803</v>
      </c>
      <c r="L33" s="2" t="n">
        <f aca="false">G33*(C33-10)/10</f>
        <v>4.630699</v>
      </c>
    </row>
    <row r="34" customFormat="false" ht="15" hidden="false" customHeight="false" outlineLevel="0" collapsed="false">
      <c r="A34" s="0" t="n">
        <v>33</v>
      </c>
      <c r="B34" s="0" t="s">
        <v>12</v>
      </c>
      <c r="C34" s="1" t="n">
        <v>91.683</v>
      </c>
      <c r="D34" s="1" t="n">
        <v>255</v>
      </c>
      <c r="E34" s="1" t="n">
        <v>9543.143</v>
      </c>
      <c r="F34" s="1" t="n">
        <v>980.633</v>
      </c>
      <c r="G34" s="1" t="n">
        <v>0.318</v>
      </c>
      <c r="H34" s="1" t="n">
        <v>100</v>
      </c>
      <c r="I34" s="1" t="n">
        <v>1.727</v>
      </c>
      <c r="J34" s="1" t="n">
        <v>0.579</v>
      </c>
      <c r="K34" s="1" t="n">
        <v>0.579</v>
      </c>
      <c r="L34" s="2" t="n">
        <f aca="false">G34*(C34-10)/10</f>
        <v>2.5975194</v>
      </c>
    </row>
    <row r="35" customFormat="false" ht="15" hidden="false" customHeight="false" outlineLevel="0" collapsed="false">
      <c r="A35" s="0" t="n">
        <v>34</v>
      </c>
      <c r="B35" s="0" t="s">
        <v>12</v>
      </c>
      <c r="C35" s="1" t="n">
        <v>70.98</v>
      </c>
      <c r="D35" s="1" t="n">
        <v>255</v>
      </c>
      <c r="E35" s="1" t="n">
        <v>9774.228</v>
      </c>
      <c r="F35" s="1" t="n">
        <v>979.867</v>
      </c>
      <c r="G35" s="1" t="n">
        <v>0.47</v>
      </c>
      <c r="H35" s="1" t="n">
        <v>100</v>
      </c>
      <c r="I35" s="1" t="n">
        <v>3.103</v>
      </c>
      <c r="J35" s="1" t="n">
        <v>0.322</v>
      </c>
      <c r="K35" s="1" t="n">
        <v>0.778</v>
      </c>
      <c r="L35" s="2" t="n">
        <f aca="false">G35*(C35-10)/10</f>
        <v>2.86606</v>
      </c>
    </row>
    <row r="36" customFormat="false" ht="15" hidden="false" customHeight="false" outlineLevel="0" collapsed="false">
      <c r="A36" s="0" t="n">
        <v>35</v>
      </c>
      <c r="B36" s="0" t="s">
        <v>12</v>
      </c>
      <c r="C36" s="1" t="n">
        <v>226.46</v>
      </c>
      <c r="D36" s="1" t="n">
        <v>255</v>
      </c>
      <c r="E36" s="1" t="n">
        <v>9159.528</v>
      </c>
      <c r="F36" s="1" t="n">
        <v>990.651</v>
      </c>
      <c r="G36" s="1" t="n">
        <v>0.063</v>
      </c>
      <c r="H36" s="1" t="n">
        <v>100</v>
      </c>
      <c r="I36" s="1" t="n">
        <v>2.067</v>
      </c>
      <c r="J36" s="1" t="n">
        <v>0.484</v>
      </c>
      <c r="K36" s="1" t="n">
        <v>0.296</v>
      </c>
      <c r="L36" s="2" t="n">
        <f aca="false">G36*(C36-10)/10</f>
        <v>1.363698</v>
      </c>
    </row>
    <row r="37" customFormat="false" ht="15" hidden="false" customHeight="false" outlineLevel="0" collapsed="false">
      <c r="A37" s="0" t="n">
        <v>36</v>
      </c>
      <c r="B37" s="0" t="s">
        <v>12</v>
      </c>
      <c r="C37" s="1" t="n">
        <v>65.487</v>
      </c>
      <c r="D37" s="1" t="n">
        <v>255</v>
      </c>
      <c r="E37" s="1" t="n">
        <v>6514.076</v>
      </c>
      <c r="F37" s="1" t="n">
        <v>990.908</v>
      </c>
      <c r="G37" s="1" t="n">
        <v>0.923</v>
      </c>
      <c r="H37" s="1" t="n">
        <v>100</v>
      </c>
      <c r="I37" s="1" t="n">
        <v>1.157</v>
      </c>
      <c r="J37" s="1" t="n">
        <v>0.864</v>
      </c>
      <c r="K37" s="1" t="n">
        <v>0.909</v>
      </c>
      <c r="L37" s="2" t="n">
        <f aca="false">G37*(C37-10)/10</f>
        <v>5.1214501</v>
      </c>
    </row>
    <row r="38" customFormat="false" ht="15" hidden="false" customHeight="false" outlineLevel="0" collapsed="false">
      <c r="A38" s="0" t="n">
        <v>37</v>
      </c>
      <c r="B38" s="0" t="s">
        <v>12</v>
      </c>
      <c r="C38" s="1" t="n">
        <v>89.993</v>
      </c>
      <c r="D38" s="1" t="n">
        <v>255</v>
      </c>
      <c r="E38" s="1" t="n">
        <v>9003.57</v>
      </c>
      <c r="F38" s="1" t="n">
        <v>998.121</v>
      </c>
      <c r="G38" s="1" t="n">
        <v>0.259</v>
      </c>
      <c r="H38" s="1" t="n">
        <v>100</v>
      </c>
      <c r="I38" s="1" t="n">
        <v>2.588</v>
      </c>
      <c r="J38" s="1" t="n">
        <v>0.386</v>
      </c>
      <c r="K38" s="1" t="n">
        <v>0.624</v>
      </c>
      <c r="L38" s="2" t="n">
        <f aca="false">G38*(C38-10)/10</f>
        <v>2.0718187</v>
      </c>
    </row>
    <row r="39" customFormat="false" ht="15" hidden="false" customHeight="false" outlineLevel="0" collapsed="false">
      <c r="A39" s="0" t="n">
        <v>38</v>
      </c>
      <c r="B39" s="0" t="s">
        <v>12</v>
      </c>
      <c r="C39" s="1" t="n">
        <v>68.445</v>
      </c>
      <c r="D39" s="1" t="n">
        <v>255</v>
      </c>
      <c r="E39" s="1" t="n">
        <v>7492.442</v>
      </c>
      <c r="F39" s="1" t="n">
        <v>996.017</v>
      </c>
      <c r="G39" s="1" t="n">
        <v>0.392</v>
      </c>
      <c r="H39" s="1" t="n">
        <v>100</v>
      </c>
      <c r="I39" s="1" t="n">
        <v>2.314</v>
      </c>
      <c r="J39" s="1" t="n">
        <v>0.432</v>
      </c>
      <c r="K39" s="1" t="n">
        <v>0.674</v>
      </c>
      <c r="L39" s="2" t="n">
        <f aca="false">G39*(C39-10)/10</f>
        <v>2.291044</v>
      </c>
    </row>
    <row r="40" customFormat="false" ht="15" hidden="false" customHeight="false" outlineLevel="0" collapsed="false">
      <c r="A40" s="0" t="n">
        <v>39</v>
      </c>
      <c r="B40" s="0" t="s">
        <v>12</v>
      </c>
      <c r="C40" s="1" t="n">
        <v>122.525</v>
      </c>
      <c r="D40" s="1" t="n">
        <v>255</v>
      </c>
      <c r="E40" s="1" t="n">
        <v>6881.447</v>
      </c>
      <c r="F40" s="1" t="n">
        <v>1002.381</v>
      </c>
      <c r="G40" s="1" t="n">
        <v>0.259</v>
      </c>
      <c r="H40" s="1" t="n">
        <v>100</v>
      </c>
      <c r="I40" s="1" t="n">
        <v>3.487</v>
      </c>
      <c r="J40" s="1" t="n">
        <v>0.287</v>
      </c>
      <c r="K40" s="1" t="n">
        <v>0.51</v>
      </c>
      <c r="L40" s="2" t="n">
        <f aca="false">G40*(C40-10)/10</f>
        <v>2.9143975</v>
      </c>
    </row>
    <row r="41" customFormat="false" ht="15" hidden="false" customHeight="false" outlineLevel="0" collapsed="false">
      <c r="A41" s="0" t="n">
        <v>40</v>
      </c>
      <c r="B41" s="0" t="s">
        <v>12</v>
      </c>
      <c r="C41" s="1" t="n">
        <v>102.245</v>
      </c>
      <c r="D41" s="1" t="n">
        <v>255</v>
      </c>
      <c r="E41" s="1" t="n">
        <v>8937.414</v>
      </c>
      <c r="F41" s="1" t="n">
        <v>1007.054</v>
      </c>
      <c r="G41" s="1" t="n">
        <v>0.161</v>
      </c>
      <c r="H41" s="1" t="n">
        <v>100</v>
      </c>
      <c r="I41" s="1" t="n">
        <v>2.196</v>
      </c>
      <c r="J41" s="1" t="n">
        <v>0.455</v>
      </c>
      <c r="K41" s="1" t="n">
        <v>0.366</v>
      </c>
      <c r="L41" s="2" t="n">
        <f aca="false">G41*(C41-10)/10</f>
        <v>1.4851445</v>
      </c>
    </row>
    <row r="42" customFormat="false" ht="15" hidden="false" customHeight="false" outlineLevel="0" collapsed="false">
      <c r="A42" s="0" t="n">
        <v>41</v>
      </c>
      <c r="B42" s="0" t="s">
        <v>12</v>
      </c>
      <c r="C42" s="1" t="n">
        <v>164.775</v>
      </c>
      <c r="D42" s="1" t="n">
        <v>255</v>
      </c>
      <c r="E42" s="1" t="n">
        <v>8145.062</v>
      </c>
      <c r="F42" s="1" t="n">
        <v>1008.918</v>
      </c>
      <c r="G42" s="1" t="n">
        <v>0.13</v>
      </c>
      <c r="H42" s="1" t="n">
        <v>100</v>
      </c>
      <c r="I42" s="1" t="n">
        <v>2.991</v>
      </c>
      <c r="J42" s="1" t="n">
        <v>0.334</v>
      </c>
      <c r="K42" s="1" t="n">
        <v>0.334</v>
      </c>
      <c r="L42" s="2" t="n">
        <f aca="false">G42*(C42-10)/10</f>
        <v>2.012075</v>
      </c>
    </row>
    <row r="43" customFormat="false" ht="15" hidden="false" customHeight="false" outlineLevel="0" collapsed="false">
      <c r="A43" s="0" t="n">
        <v>42</v>
      </c>
      <c r="B43" s="0" t="s">
        <v>12</v>
      </c>
      <c r="C43" s="1" t="n">
        <v>71.825</v>
      </c>
      <c r="D43" s="1" t="n">
        <v>255</v>
      </c>
      <c r="E43" s="1" t="n">
        <v>7495.655</v>
      </c>
      <c r="F43" s="1" t="n">
        <v>1008.49</v>
      </c>
      <c r="G43" s="1" t="n">
        <v>0.916</v>
      </c>
      <c r="H43" s="1" t="n">
        <v>100</v>
      </c>
      <c r="I43" s="1" t="n">
        <v>1.415</v>
      </c>
      <c r="J43" s="1" t="n">
        <v>0.707</v>
      </c>
      <c r="K43" s="1" t="n">
        <v>0.939</v>
      </c>
      <c r="L43" s="2" t="n">
        <f aca="false">G43*(C43-10)/10</f>
        <v>5.66317</v>
      </c>
    </row>
    <row r="44" customFormat="false" ht="15" hidden="false" customHeight="false" outlineLevel="0" collapsed="false">
      <c r="A44" s="0" t="n">
        <v>43</v>
      </c>
      <c r="B44" s="0" t="s">
        <v>12</v>
      </c>
      <c r="C44" s="1" t="n">
        <v>93.795</v>
      </c>
      <c r="D44" s="1" t="n">
        <v>255</v>
      </c>
      <c r="E44" s="1" t="n">
        <v>7678.254</v>
      </c>
      <c r="F44" s="1" t="n">
        <v>1012.346</v>
      </c>
      <c r="G44" s="1" t="n">
        <v>0.677</v>
      </c>
      <c r="H44" s="1" t="n">
        <v>100</v>
      </c>
      <c r="I44" s="1" t="n">
        <v>1.352</v>
      </c>
      <c r="J44" s="1" t="n">
        <v>0.74</v>
      </c>
      <c r="K44" s="1" t="n">
        <v>0.871</v>
      </c>
      <c r="L44" s="2" t="n">
        <f aca="false">G44*(C44-10)/10</f>
        <v>5.6729215</v>
      </c>
    </row>
    <row r="45" customFormat="false" ht="15" hidden="false" customHeight="false" outlineLevel="0" collapsed="false">
      <c r="A45" s="0" t="n">
        <v>44</v>
      </c>
      <c r="B45" s="0" t="s">
        <v>12</v>
      </c>
      <c r="C45" s="1" t="n">
        <v>69.29</v>
      </c>
      <c r="D45" s="1" t="n">
        <v>255</v>
      </c>
      <c r="E45" s="1" t="n">
        <v>9889.56</v>
      </c>
      <c r="F45" s="1" t="n">
        <v>1013.009</v>
      </c>
      <c r="G45" s="1" t="n">
        <v>0.761</v>
      </c>
      <c r="H45" s="1" t="n">
        <v>100</v>
      </c>
      <c r="I45" s="1" t="n">
        <v>1.351</v>
      </c>
      <c r="J45" s="1" t="n">
        <v>0.74</v>
      </c>
      <c r="K45" s="1" t="n">
        <v>0.932</v>
      </c>
      <c r="L45" s="2" t="n">
        <f aca="false">G45*(C45-10)/10</f>
        <v>4.511969</v>
      </c>
    </row>
    <row r="46" customFormat="false" ht="15" hidden="false" customHeight="false" outlineLevel="0" collapsed="false">
      <c r="A46" s="0" t="n">
        <v>45</v>
      </c>
      <c r="B46" s="0" t="s">
        <v>12</v>
      </c>
      <c r="C46" s="1" t="n">
        <v>49.01</v>
      </c>
      <c r="D46" s="1" t="n">
        <v>255</v>
      </c>
      <c r="E46" s="1" t="n">
        <v>5892.446</v>
      </c>
      <c r="F46" s="1" t="n">
        <v>1017.328</v>
      </c>
      <c r="G46" s="1" t="n">
        <v>0.925</v>
      </c>
      <c r="H46" s="1" t="n">
        <v>100</v>
      </c>
      <c r="I46" s="1" t="n">
        <v>1.239</v>
      </c>
      <c r="J46" s="1" t="n">
        <v>0.807</v>
      </c>
      <c r="K46" s="1" t="n">
        <v>0.903</v>
      </c>
      <c r="L46" s="2" t="n">
        <f aca="false">G46*(C46-10)/10</f>
        <v>3.608425</v>
      </c>
    </row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Universitätsklinik Carl Gustav Carus Dresden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2022-11-02T13:42:03Z</dcterms:created>
  <dc:creator>Nexhipi, Sindi</dc:creator>
  <dc:description/>
  <dc:language>en-US</dc:language>
  <cp:lastModifiedBy>Deborah Schmidt</cp:lastModifiedBy>
  <dcterms:modified xsi:type="dcterms:W3CDTF">2023-04-04T22:19:23Z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